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ableau de Bord" sheetId="1" state="visible" r:id="rId1"/>
    <sheet xmlns:r="http://schemas.openxmlformats.org/officeDocument/2006/relationships" name="📝 Suivi Mensuel" sheetId="2" state="visible" r:id="rId2"/>
    <sheet xmlns:r="http://schemas.openxmlformats.org/officeDocument/2006/relationships" name="💰 Finances" sheetId="3" state="visible" r:id="rId3"/>
    <sheet xmlns:r="http://schemas.openxmlformats.org/officeDocument/2006/relationships" name="💬 Messages Clés" sheetId="4" state="visible" r:id="rId4"/>
  </sheets>
  <definedNames/>
  <calcPr calcId="124519" fullCalcOnLoad="1"/>
</workbook>
</file>

<file path=xl/styles.xml><?xml version="1.0" encoding="utf-8"?>
<styleSheet xmlns="http://schemas.openxmlformats.org/spreadsheetml/2006/main">
  <numFmts count="2">
    <numFmt numFmtId="164" formatCode="#,##0 &quot;FCFA&quot;"/>
    <numFmt numFmtId="165" formatCode="0.0%"/>
  </numFmts>
  <fonts count="25">
    <font>
      <name val="Calibri"/>
      <family val="2"/>
      <color theme="1"/>
      <sz val="11"/>
      <scheme val="minor"/>
    </font>
    <font>
      <name val="Arial"/>
      <b val="1"/>
      <color rgb="00C9A84C"/>
      <sz val="22"/>
    </font>
    <font>
      <name val="Arial"/>
      <color rgb="00AAAAAA"/>
      <sz val="10"/>
    </font>
    <font>
      <name val="Arial"/>
      <b val="1"/>
      <color rgb="00FFFFFF"/>
      <sz val="13"/>
    </font>
    <font>
      <name val="Arial"/>
      <b val="1"/>
      <color rgb="00FFFFFF"/>
      <sz val="9"/>
    </font>
    <font>
      <name val="Arial"/>
      <color rgb="001C1C1C"/>
      <sz val="9"/>
    </font>
    <font>
      <name val="Arial"/>
      <b val="1"/>
      <color rgb="001C1C1C"/>
      <sz val="9"/>
    </font>
    <font>
      <name val="Arial"/>
      <b val="1"/>
      <color rgb="00C9A84C"/>
      <sz val="14"/>
    </font>
    <font>
      <name val="Arial"/>
      <b val="1"/>
      <color rgb="00E87D7D"/>
      <sz val="14"/>
    </font>
    <font>
      <name val="Arial"/>
      <b val="1"/>
      <color rgb="005DB87A"/>
      <sz val="14"/>
    </font>
    <font>
      <name val="Arial"/>
      <b val="1"/>
      <color rgb="00F0D080"/>
      <sz val="14"/>
    </font>
    <font>
      <name val="Arial"/>
      <i val="1"/>
      <color rgb="00555555"/>
      <sz val="8"/>
    </font>
    <font>
      <name val="Arial"/>
      <b val="1"/>
      <color rgb="00C9A84C"/>
      <sz val="20"/>
    </font>
    <font>
      <name val="Arial"/>
      <i val="1"/>
      <color rgb="00AAAAAA"/>
      <sz val="9"/>
    </font>
    <font>
      <name val="Arial"/>
      <b val="1"/>
      <color rgb="00FFFFFF"/>
      <sz val="12"/>
    </font>
    <font>
      <name val="Arial"/>
      <b val="1"/>
      <color rgb="00000000"/>
      <sz val="9"/>
    </font>
    <font>
      <name val="Arial"/>
      <color rgb="000000FF"/>
      <sz val="9"/>
    </font>
    <font>
      <name val="Arial"/>
      <color rgb="00000000"/>
      <sz val="9"/>
    </font>
    <font>
      <name val="Arial"/>
      <b val="1"/>
      <color rgb="00FFFFFF"/>
      <sz val="10"/>
    </font>
    <font>
      <name val="Arial"/>
      <b val="1"/>
      <color rgb="00000000"/>
      <sz val="10"/>
    </font>
    <font>
      <name val="Arial"/>
      <b val="1"/>
      <sz val="10"/>
    </font>
    <font>
      <name val="Arial"/>
      <b val="1"/>
      <color rgb="0027AE60"/>
      <sz val="13"/>
    </font>
    <font>
      <name val="Arial"/>
      <b val="1"/>
      <color rgb="00C9A84C"/>
      <sz val="13"/>
    </font>
    <font>
      <name val="Arial"/>
      <i val="1"/>
      <color rgb="001C1C1C"/>
      <sz val="10"/>
    </font>
    <font>
      <name val="Arial"/>
      <b val="1"/>
      <i val="1"/>
      <color rgb="00C9A84C"/>
      <sz val="12"/>
    </font>
  </fonts>
  <fills count="23">
    <fill>
      <patternFill/>
    </fill>
    <fill>
      <patternFill patternType="gray125"/>
    </fill>
    <fill>
      <patternFill patternType="solid">
        <fgColor rgb="000D0D1A"/>
      </patternFill>
    </fill>
    <fill>
      <patternFill patternType="solid">
        <fgColor rgb="001A5276"/>
      </patternFill>
    </fill>
    <fill>
      <patternFill patternType="solid">
        <fgColor rgb="002E86C1"/>
      </patternFill>
    </fill>
    <fill>
      <patternFill patternType="solid">
        <fgColor rgb="00D6EAF8"/>
      </patternFill>
    </fill>
    <fill>
      <patternFill patternType="solid">
        <fgColor rgb="00FFFFFF"/>
      </patternFill>
    </fill>
    <fill>
      <patternFill patternType="solid">
        <fgColor rgb="007D3500"/>
      </patternFill>
    </fill>
    <fill>
      <patternFill patternType="solid">
        <fgColor rgb="00E87D3E"/>
      </patternFill>
    </fill>
    <fill>
      <patternFill patternType="solid">
        <fgColor rgb="00FDF0E8"/>
      </patternFill>
    </fill>
    <fill>
      <patternFill patternType="solid">
        <fgColor rgb="001E5631"/>
      </patternFill>
    </fill>
    <fill>
      <patternFill patternType="solid">
        <fgColor rgb="0027AE60"/>
      </patternFill>
    </fill>
    <fill>
      <patternFill patternType="solid">
        <fgColor rgb="00D5F5E3"/>
      </patternFill>
    </fill>
    <fill>
      <patternFill patternType="solid">
        <fgColor rgb="004A235A"/>
      </patternFill>
    </fill>
    <fill>
      <patternFill patternType="solid">
        <fgColor rgb="007D3C98"/>
      </patternFill>
    </fill>
    <fill>
      <patternFill patternType="solid">
        <fgColor rgb="00F4ECF7"/>
      </patternFill>
    </fill>
    <fill>
      <patternFill patternType="solid">
        <fgColor rgb="001A1A2E"/>
      </patternFill>
    </fill>
    <fill>
      <patternFill patternType="solid">
        <fgColor rgb="002D0000"/>
      </patternFill>
    </fill>
    <fill>
      <patternFill patternType="solid">
        <fgColor rgb="000A2E14"/>
      </patternFill>
    </fill>
    <fill>
      <patternFill patternType="solid">
        <fgColor rgb="002C3E50"/>
      </patternFill>
    </fill>
    <fill>
      <patternFill patternType="solid">
        <fgColor rgb="00F5F5F5"/>
      </patternFill>
    </fill>
    <fill>
      <patternFill patternType="solid">
        <fgColor rgb="00EBF5FB"/>
      </patternFill>
    </fill>
    <fill>
      <patternFill patternType="solid">
        <fgColor rgb="00F5E6B8"/>
      </patternFill>
    </fill>
  </fills>
  <borders count="8">
    <border>
      <left/>
      <right/>
      <top/>
      <bottom/>
      <diagonal/>
    </border>
    <border>
      <left style="thin">
        <color rgb="00FFFFFF"/>
      </left>
      <right style="thin">
        <color rgb="00FFFFFF"/>
      </right>
      <top style="thin">
        <color rgb="00FFFFFF"/>
      </top>
      <bottom style="thin">
        <color rgb="00FFFFFF"/>
      </bottom>
    </border>
    <border>
      <left style="thin">
        <color rgb="00D0D0D0"/>
      </left>
      <right style="thin">
        <color rgb="00D0D0D0"/>
      </right>
      <top style="thin">
        <color rgb="00D0D0D0"/>
      </top>
      <bottom style="thin">
        <color rgb="00D0D0D0"/>
      </bottom>
    </border>
    <border>
      <left style="thin">
        <color rgb="00C9A84C"/>
      </left>
      <right style="thin">
        <color rgb="00C9A84C"/>
      </right>
      <top style="thin">
        <color rgb="00C9A84C"/>
      </top>
      <bottom style="thin">
        <color rgb="00C9A84C"/>
      </bottom>
    </border>
    <border>
      <left style="thin">
        <color rgb="001A5276"/>
      </left>
      <right style="thin">
        <color rgb="001A5276"/>
      </right>
      <top style="thin">
        <color rgb="001A5276"/>
      </top>
      <bottom style="thin">
        <color rgb="001A5276"/>
      </bottom>
    </border>
    <border>
      <left style="thin">
        <color rgb="007D3500"/>
      </left>
      <right style="thin">
        <color rgb="007D3500"/>
      </right>
      <top style="thin">
        <color rgb="007D3500"/>
      </top>
      <bottom style="thin">
        <color rgb="007D3500"/>
      </bottom>
    </border>
    <border>
      <left style="thin">
        <color rgb="001E5631"/>
      </left>
      <right style="thin">
        <color rgb="001E5631"/>
      </right>
      <top style="thin">
        <color rgb="001E5631"/>
      </top>
      <bottom style="thin">
        <color rgb="001E5631"/>
      </bottom>
    </border>
    <border>
      <left style="thin">
        <color rgb="004A235A"/>
      </left>
      <right style="thin">
        <color rgb="004A235A"/>
      </right>
      <top style="thin">
        <color rgb="004A235A"/>
      </top>
      <bottom style="thin">
        <color rgb="004A235A"/>
      </bottom>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7" borderId="0" applyAlignment="1" pivotButton="0" quotePrefix="0" xfId="0">
      <alignment horizontal="center" vertical="center"/>
    </xf>
    <xf numFmtId="0" fontId="0" fillId="4" borderId="0" pivotButton="0" quotePrefix="0" xfId="0"/>
    <xf numFmtId="0" fontId="0" fillId="8" borderId="0" pivotButton="0" quotePrefix="0" xfId="0"/>
    <xf numFmtId="0" fontId="4"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5" borderId="2" applyAlignment="1" pivotButton="0" quotePrefix="0" xfId="0">
      <alignment horizontal="left" vertical="center" wrapText="1"/>
    </xf>
    <xf numFmtId="0" fontId="5" fillId="6" borderId="2" applyAlignment="1" pivotButton="0" quotePrefix="0" xfId="0">
      <alignment horizontal="center" vertical="center"/>
    </xf>
    <xf numFmtId="0" fontId="6" fillId="4" borderId="2" applyAlignment="1" pivotButton="0" quotePrefix="0" xfId="0">
      <alignment horizontal="center" vertical="center"/>
    </xf>
    <xf numFmtId="0" fontId="5" fillId="9" borderId="2" applyAlignment="1" pivotButton="0" quotePrefix="0" xfId="0">
      <alignment horizontal="left" vertical="center" wrapText="1"/>
    </xf>
    <xf numFmtId="0" fontId="6" fillId="8" borderId="2" applyAlignment="1" pivotButton="0" quotePrefix="0" xfId="0">
      <alignment horizontal="center" vertical="center"/>
    </xf>
    <xf numFmtId="0" fontId="3" fillId="10" borderId="0" applyAlignment="1" pivotButton="0" quotePrefix="0" xfId="0">
      <alignment horizontal="center" vertical="center"/>
    </xf>
    <xf numFmtId="0" fontId="3" fillId="13" borderId="0" applyAlignment="1" pivotButton="0" quotePrefix="0" xfId="0">
      <alignment horizontal="center" vertical="center"/>
    </xf>
    <xf numFmtId="0" fontId="0" fillId="11" borderId="0" pivotButton="0" quotePrefix="0" xfId="0"/>
    <xf numFmtId="0" fontId="0" fillId="14" borderId="0" pivotButton="0" quotePrefix="0" xfId="0"/>
    <xf numFmtId="0" fontId="4" fillId="11"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2" applyAlignment="1" pivotButton="0" quotePrefix="0" xfId="0">
      <alignment horizontal="left" vertical="center" wrapText="1"/>
    </xf>
    <xf numFmtId="0" fontId="6" fillId="11" borderId="2" applyAlignment="1" pivotButton="0" quotePrefix="0" xfId="0">
      <alignment horizontal="center" vertical="center"/>
    </xf>
    <xf numFmtId="0" fontId="5" fillId="15" borderId="2" applyAlignment="1" pivotButton="0" quotePrefix="0" xfId="0">
      <alignment horizontal="left" vertical="center" wrapText="1"/>
    </xf>
    <xf numFmtId="0" fontId="6" fillId="14" borderId="2" applyAlignment="1" pivotButton="0" quotePrefix="0" xfId="0">
      <alignment horizontal="center" vertical="center"/>
    </xf>
    <xf numFmtId="0" fontId="3" fillId="2" borderId="0" applyAlignment="1" pivotButton="0" quotePrefix="0" xfId="0">
      <alignment horizontal="center" vertical="center"/>
    </xf>
    <xf numFmtId="0" fontId="4" fillId="16" borderId="0" applyAlignment="1" pivotButton="0" quotePrefix="0" xfId="0">
      <alignment horizontal="center" vertical="center"/>
    </xf>
    <xf numFmtId="0" fontId="4" fillId="17" borderId="0" applyAlignment="1" pivotButton="0" quotePrefix="0" xfId="0">
      <alignment horizontal="center" vertical="center"/>
    </xf>
    <xf numFmtId="0" fontId="4" fillId="18" borderId="0" applyAlignment="1" pivotButton="0" quotePrefix="0" xfId="0">
      <alignment horizontal="center" vertical="center"/>
    </xf>
    <xf numFmtId="0" fontId="7" fillId="2" borderId="0" applyAlignment="1" pivotButton="0" quotePrefix="0" xfId="0">
      <alignment horizontal="center" vertical="center"/>
    </xf>
    <xf numFmtId="0" fontId="8" fillId="2" borderId="0" applyAlignment="1" pivotButton="0" quotePrefix="0" xfId="0">
      <alignment horizontal="center" vertical="center"/>
    </xf>
    <xf numFmtId="0" fontId="9" fillId="2" borderId="0" applyAlignment="1" pivotButton="0" quotePrefix="0" xfId="0">
      <alignment horizontal="center" vertical="center"/>
    </xf>
    <xf numFmtId="0" fontId="10" fillId="2" borderId="0" applyAlignment="1" pivotButton="0" quotePrefix="0" xfId="0">
      <alignment horizontal="center" vertical="center"/>
    </xf>
    <xf numFmtId="0" fontId="11" fillId="0" borderId="0" applyAlignment="1" pivotButton="0" quotePrefix="0" xfId="0">
      <alignment horizontal="center" vertical="center"/>
    </xf>
    <xf numFmtId="0" fontId="12" fillId="2" borderId="0" applyAlignment="1" pivotButton="0" quotePrefix="0" xfId="0">
      <alignment horizontal="center" vertical="center"/>
    </xf>
    <xf numFmtId="0" fontId="13" fillId="2" borderId="0" applyAlignment="1" pivotButton="0" quotePrefix="0" xfId="0">
      <alignment horizontal="center" vertical="center"/>
    </xf>
    <xf numFmtId="0" fontId="14" fillId="3" borderId="0" applyAlignment="1" pivotButton="0" quotePrefix="0" xfId="0">
      <alignment horizontal="center" vertical="center"/>
    </xf>
    <xf numFmtId="0" fontId="4" fillId="3" borderId="1" applyAlignment="1" pivotButton="0" quotePrefix="0" xfId="0">
      <alignment horizontal="center" vertical="center" wrapText="1"/>
    </xf>
    <xf numFmtId="0" fontId="4" fillId="19" borderId="1" applyAlignment="1" pivotButton="0" quotePrefix="0" xfId="0">
      <alignment horizontal="center" vertical="center" wrapText="1"/>
    </xf>
    <xf numFmtId="0" fontId="15" fillId="20" borderId="2" applyAlignment="1" pivotButton="0" quotePrefix="0" xfId="0">
      <alignment horizontal="center" vertical="center"/>
    </xf>
    <xf numFmtId="0" fontId="16" fillId="21" borderId="2" applyAlignment="1" pivotButton="0" quotePrefix="0" xfId="0">
      <alignment horizontal="center" vertical="center"/>
    </xf>
    <xf numFmtId="0" fontId="14" fillId="7" borderId="0" applyAlignment="1" pivotButton="0" quotePrefix="0" xfId="0">
      <alignment horizontal="center" vertical="center"/>
    </xf>
    <xf numFmtId="0" fontId="4" fillId="7" borderId="1" applyAlignment="1" pivotButton="0" quotePrefix="0" xfId="0">
      <alignment horizontal="center" vertical="center" wrapText="1"/>
    </xf>
    <xf numFmtId="0" fontId="14" fillId="10" borderId="0" applyAlignment="1" pivotButton="0" quotePrefix="0" xfId="0">
      <alignment horizontal="center" vertical="center"/>
    </xf>
    <xf numFmtId="0" fontId="4" fillId="10" borderId="1" applyAlignment="1" pivotButton="0" quotePrefix="0" xfId="0">
      <alignment horizontal="center" vertical="center" wrapText="1"/>
    </xf>
    <xf numFmtId="0" fontId="14" fillId="13" borderId="0" applyAlignment="1" pivotButton="0" quotePrefix="0" xfId="0">
      <alignment horizontal="center" vertical="center"/>
    </xf>
    <xf numFmtId="0" fontId="4" fillId="13" borderId="1" applyAlignment="1" pivotButton="0" quotePrefix="0" xfId="0">
      <alignment horizontal="center" vertical="center" wrapText="1"/>
    </xf>
    <xf numFmtId="0" fontId="14" fillId="2" borderId="0" applyAlignment="1" pivotButton="0" quotePrefix="0" xfId="0">
      <alignment horizontal="center" vertical="center"/>
    </xf>
    <xf numFmtId="0" fontId="5" fillId="5" borderId="2" applyAlignment="1" pivotButton="0" quotePrefix="0" xfId="0">
      <alignment horizontal="left" vertical="center"/>
    </xf>
    <xf numFmtId="164" fontId="15" fillId="20" borderId="2" applyAlignment="1" pivotButton="0" quotePrefix="0" xfId="0">
      <alignment horizontal="center" vertical="center"/>
    </xf>
    <xf numFmtId="164" fontId="16" fillId="21" borderId="2" applyAlignment="1" pivotButton="0" quotePrefix="0" xfId="0">
      <alignment horizontal="center" vertical="center"/>
    </xf>
    <xf numFmtId="164" fontId="17" fillId="6" borderId="2" applyAlignment="1" pivotButton="0" quotePrefix="0" xfId="0">
      <alignment horizontal="center" vertical="center"/>
    </xf>
    <xf numFmtId="165" fontId="17" fillId="6" borderId="2" applyAlignment="1" pivotButton="0" quotePrefix="0" xfId="0">
      <alignment horizontal="center" vertical="center"/>
    </xf>
    <xf numFmtId="0" fontId="5" fillId="9" borderId="2" applyAlignment="1" pivotButton="0" quotePrefix="0" xfId="0">
      <alignment horizontal="left" vertical="center"/>
    </xf>
    <xf numFmtId="0" fontId="5" fillId="12" borderId="2" applyAlignment="1" pivotButton="0" quotePrefix="0" xfId="0">
      <alignment horizontal="left" vertical="center"/>
    </xf>
    <xf numFmtId="0" fontId="5" fillId="15" borderId="2" applyAlignment="1" pivotButton="0" quotePrefix="0" xfId="0">
      <alignment horizontal="left" vertical="center"/>
    </xf>
    <xf numFmtId="0" fontId="18" fillId="2" borderId="3" applyAlignment="1" pivotButton="0" quotePrefix="0" xfId="0">
      <alignment horizontal="center" vertical="center"/>
    </xf>
    <xf numFmtId="164" fontId="19" fillId="22" borderId="3" applyAlignment="1" pivotButton="0" quotePrefix="0" xfId="0">
      <alignment horizontal="center" vertical="center"/>
    </xf>
    <xf numFmtId="0" fontId="14" fillId="19" borderId="0" applyAlignment="1" pivotButton="0" quotePrefix="0" xfId="0">
      <alignment horizontal="center" vertical="center"/>
    </xf>
    <xf numFmtId="0" fontId="5" fillId="20" borderId="2" applyAlignment="1" pivotButton="0" quotePrefix="0" xfId="0">
      <alignment horizontal="left" vertical="center"/>
    </xf>
    <xf numFmtId="0" fontId="18" fillId="19" borderId="2" applyAlignment="1" pivotButton="0" quotePrefix="0" xfId="0">
      <alignment horizontal="center" vertical="center"/>
    </xf>
    <xf numFmtId="164" fontId="20" fillId="20" borderId="2" applyAlignment="1" pivotButton="0" quotePrefix="0" xfId="0">
      <alignment horizontal="center" vertical="center"/>
    </xf>
    <xf numFmtId="164" fontId="19" fillId="20" borderId="2" applyAlignment="1" pivotButton="0" quotePrefix="0" xfId="0">
      <alignment horizontal="center" vertical="center"/>
    </xf>
    <xf numFmtId="0" fontId="14" fillId="2" borderId="3" applyAlignment="1" pivotButton="0" quotePrefix="0" xfId="0">
      <alignment horizontal="center" vertical="center"/>
    </xf>
    <xf numFmtId="164" fontId="21" fillId="2" borderId="3" applyAlignment="1" pivotButton="0" quotePrefix="0" xfId="0">
      <alignment horizontal="center" vertical="center"/>
    </xf>
    <xf numFmtId="164" fontId="22" fillId="2" borderId="3" applyAlignment="1" pivotButton="0" quotePrefix="0" xfId="0">
      <alignment horizontal="center" vertical="center"/>
    </xf>
    <xf numFmtId="0" fontId="14" fillId="3" borderId="4" applyAlignment="1" pivotButton="0" quotePrefix="0" xfId="0">
      <alignment horizontal="left" vertical="center"/>
    </xf>
    <xf numFmtId="0" fontId="23" fillId="5" borderId="4" applyAlignment="1" pivotButton="0" quotePrefix="0" xfId="0">
      <alignment horizontal="left" vertical="center" wrapText="1"/>
    </xf>
    <xf numFmtId="0" fontId="14" fillId="7" borderId="5" applyAlignment="1" pivotButton="0" quotePrefix="0" xfId="0">
      <alignment horizontal="left" vertical="center"/>
    </xf>
    <xf numFmtId="0" fontId="23" fillId="9" borderId="5" applyAlignment="1" pivotButton="0" quotePrefix="0" xfId="0">
      <alignment horizontal="left" vertical="center" wrapText="1"/>
    </xf>
    <xf numFmtId="0" fontId="14" fillId="10" borderId="6" applyAlignment="1" pivotButton="0" quotePrefix="0" xfId="0">
      <alignment horizontal="left" vertical="center"/>
    </xf>
    <xf numFmtId="0" fontId="23" fillId="12" borderId="6" applyAlignment="1" pivotButton="0" quotePrefix="0" xfId="0">
      <alignment horizontal="left" vertical="center" wrapText="1"/>
    </xf>
    <xf numFmtId="0" fontId="14" fillId="13" borderId="7" applyAlignment="1" pivotButton="0" quotePrefix="0" xfId="0">
      <alignment horizontal="left" vertical="center"/>
    </xf>
    <xf numFmtId="0" fontId="23" fillId="15" borderId="7" applyAlignment="1" pivotButton="0" quotePrefix="0" xfId="0">
      <alignment horizontal="left" vertical="center" wrapText="1"/>
    </xf>
    <xf numFmtId="0" fontId="2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L33"/>
  <sheetViews>
    <sheetView showGridLines="0" workbookViewId="0">
      <selection activeCell="A1" sqref="A1"/>
    </sheetView>
  </sheetViews>
  <sheetFormatPr baseColWidth="8" defaultRowHeight="15"/>
  <cols>
    <col width="2" customWidth="1" min="1" max="1"/>
    <col width="28" customWidth="1" min="2" max="2"/>
    <col width="16" customWidth="1" min="3" max="3"/>
    <col width="16" customWidth="1" min="4" max="4"/>
    <col width="16" customWidth="1" min="5" max="5"/>
    <col width="16" customWidth="1" min="6" max="6"/>
    <col width="3" customWidth="1" min="7" max="7"/>
    <col width="28" customWidth="1" min="8" max="8"/>
    <col width="16" customWidth="1" min="9" max="9"/>
    <col width="16" customWidth="1" min="10" max="10"/>
    <col width="16" customWidth="1" min="11" max="11"/>
    <col width="16" customWidth="1" min="12" max="12"/>
    <col width="2" customWidth="1" min="13" max="13"/>
  </cols>
  <sheetData>
    <row r="1" ht="50" customHeight="1">
      <c r="B1" s="1" t="inlineStr">
        <is>
          <t>VANIA  –  TABLEAU DE BORD KPIs MENSUEL</t>
        </is>
      </c>
    </row>
    <row r="2" ht="20" customHeight="1">
      <c r="B2" s="2" t="inlineStr">
        <is>
          <t>Startup Immobilière  |  Sprint Lancement 30 Jours  |  Mise à jour mensuelle</t>
        </is>
      </c>
    </row>
    <row r="3" ht="36" customHeight="1"/>
    <row r="4" ht="30" customHeight="1">
      <c r="B4" s="3" t="inlineStr">
        <is>
          <t>🏢  AGENCE COMMUNICATION  |  Cible : Startups OTAs</t>
        </is>
      </c>
      <c r="H4" s="4" t="inlineStr">
        <is>
          <t>🎬  STUDIO  |  Cible : Agents Immobiliers</t>
        </is>
      </c>
    </row>
    <row r="5" ht="5" customHeight="1">
      <c r="B5" s="5" t="n"/>
      <c r="C5" s="5" t="n"/>
      <c r="D5" s="5" t="n"/>
      <c r="E5" s="5" t="n"/>
      <c r="F5" s="5" t="n"/>
      <c r="H5" s="6" t="n"/>
      <c r="I5" s="6" t="n"/>
      <c r="J5" s="6" t="n"/>
      <c r="K5" s="6" t="n"/>
      <c r="L5" s="6" t="n"/>
    </row>
    <row r="6" ht="28" customHeight="1">
      <c r="B6" s="7" t="inlineStr">
        <is>
          <t>KPI</t>
        </is>
      </c>
      <c r="C6" s="7" t="inlineStr">
        <is>
          <t>S1
(J1–7)</t>
        </is>
      </c>
      <c r="D6" s="7" t="inlineStr">
        <is>
          <t>S2
(J8–14)</t>
        </is>
      </c>
      <c r="E6" s="7" t="inlineStr">
        <is>
          <t>S3
(J15–21)</t>
        </is>
      </c>
      <c r="F6" s="7" t="inlineStr">
        <is>
          <t>S4
(J22–30)</t>
        </is>
      </c>
      <c r="H6" s="8" t="inlineStr">
        <is>
          <t>KPI</t>
        </is>
      </c>
      <c r="I6" s="8" t="inlineStr">
        <is>
          <t>S1
(J1–7)</t>
        </is>
      </c>
      <c r="J6" s="8" t="inlineStr">
        <is>
          <t>S2
(J8–14)</t>
        </is>
      </c>
      <c r="K6" s="8" t="inlineStr">
        <is>
          <t>S3
(J15–21)</t>
        </is>
      </c>
      <c r="L6" s="8" t="inlineStr">
        <is>
          <t>S4
(J22–30)</t>
        </is>
      </c>
    </row>
    <row r="7" ht="22" customHeight="1">
      <c r="B7" s="9" t="inlineStr">
        <is>
          <t>Startups OTAs identifiées</t>
        </is>
      </c>
      <c r="C7" s="10" t="n">
        <v>15</v>
      </c>
      <c r="D7" s="10" t="n">
        <v>15</v>
      </c>
      <c r="E7" s="10" t="n">
        <v>15</v>
      </c>
      <c r="F7" s="11" t="inlineStr">
        <is>
          <t>15+</t>
        </is>
      </c>
      <c r="H7" s="12" t="inlineStr">
        <is>
          <t>Agents immobiliers identifiés</t>
        </is>
      </c>
      <c r="I7" s="10" t="n">
        <v>20</v>
      </c>
      <c r="J7" s="10" t="n">
        <v>20</v>
      </c>
      <c r="K7" s="10" t="n">
        <v>20</v>
      </c>
      <c r="L7" s="13" t="inlineStr">
        <is>
          <t>20+</t>
        </is>
      </c>
    </row>
    <row r="8" ht="22" customHeight="1">
      <c r="B8" s="9" t="inlineStr">
        <is>
          <t>RDV réalisés</t>
        </is>
      </c>
      <c r="C8" s="10" t="n">
        <v>0</v>
      </c>
      <c r="D8" s="10" t="n">
        <v>8</v>
      </c>
      <c r="E8" s="10" t="n">
        <v>8</v>
      </c>
      <c r="F8" s="11" t="inlineStr">
        <is>
          <t>8+</t>
        </is>
      </c>
      <c r="H8" s="12" t="inlineStr">
        <is>
          <t>RDV agents réalisés</t>
        </is>
      </c>
      <c r="I8" s="10" t="n">
        <v>0</v>
      </c>
      <c r="J8" s="10" t="n">
        <v>10</v>
      </c>
      <c r="K8" s="10" t="n">
        <v>10</v>
      </c>
      <c r="L8" s="13" t="inlineStr">
        <is>
          <t>10+</t>
        </is>
      </c>
    </row>
    <row r="9" ht="22" customHeight="1">
      <c r="B9" s="9" t="inlineStr">
        <is>
          <t>Audits identité de marque</t>
        </is>
      </c>
      <c r="C9" s="10" t="n">
        <v>0</v>
      </c>
      <c r="D9" s="10" t="n">
        <v>8</v>
      </c>
      <c r="E9" s="10" t="n">
        <v>8</v>
      </c>
      <c r="F9" s="11" t="inlineStr">
        <is>
          <t>8</t>
        </is>
      </c>
      <c r="H9" s="12" t="inlineStr">
        <is>
          <t>Audits d'annonces réalisés</t>
        </is>
      </c>
      <c r="I9" s="10" t="n">
        <v>0</v>
      </c>
      <c r="J9" s="10" t="n">
        <v>10</v>
      </c>
      <c r="K9" s="10" t="n">
        <v>10</v>
      </c>
      <c r="L9" s="13" t="inlineStr">
        <is>
          <t>10</t>
        </is>
      </c>
    </row>
    <row r="10" ht="22" customHeight="1">
      <c r="B10" s="9" t="inlineStr">
        <is>
          <t>Propositions remises</t>
        </is>
      </c>
      <c r="C10" s="10" t="n">
        <v>0</v>
      </c>
      <c r="D10" s="10" t="n">
        <v>0</v>
      </c>
      <c r="E10" s="10" t="n">
        <v>3</v>
      </c>
      <c r="F10" s="11" t="inlineStr">
        <is>
          <t>3+</t>
        </is>
      </c>
      <c r="H10" s="12" t="inlineStr">
        <is>
          <t>Annonces démo produites</t>
        </is>
      </c>
      <c r="I10" s="10" t="inlineStr">
        <is>
          <t>2</t>
        </is>
      </c>
      <c r="J10" s="10" t="inlineStr">
        <is>
          <t>2</t>
        </is>
      </c>
      <c r="K10" s="10" t="inlineStr">
        <is>
          <t>3</t>
        </is>
      </c>
      <c r="L10" s="13" t="inlineStr">
        <is>
          <t>3+</t>
        </is>
      </c>
    </row>
    <row r="11" ht="22" customHeight="1">
      <c r="B11" s="9" t="inlineStr">
        <is>
          <t>Contrats signés</t>
        </is>
      </c>
      <c r="C11" s="10" t="n">
        <v>0</v>
      </c>
      <c r="D11" s="10" t="n">
        <v>0</v>
      </c>
      <c r="E11" s="10" t="n">
        <v>2</v>
      </c>
      <c r="F11" s="11" t="inlineStr">
        <is>
          <t>3</t>
        </is>
      </c>
      <c r="H11" s="12" t="inlineStr">
        <is>
          <t>Propositions remises</t>
        </is>
      </c>
      <c r="I11" s="10" t="n">
        <v>0</v>
      </c>
      <c r="J11" s="10" t="n">
        <v>0</v>
      </c>
      <c r="K11" s="10" t="n">
        <v>4</v>
      </c>
      <c r="L11" s="13" t="inlineStr">
        <is>
          <t>4+</t>
        </is>
      </c>
    </row>
    <row r="12" ht="22" customHeight="1">
      <c r="B12" s="9" t="inlineStr">
        <is>
          <t>Capsules vidéo produites</t>
        </is>
      </c>
      <c r="C12" s="10" t="inlineStr">
        <is>
          <t>2 démo</t>
        </is>
      </c>
      <c r="D12" s="10" t="n">
        <v>0</v>
      </c>
      <c r="E12" s="10" t="n">
        <v>0</v>
      </c>
      <c r="F12" s="11" t="inlineStr">
        <is>
          <t>2 clients</t>
        </is>
      </c>
      <c r="H12" s="12" t="inlineStr">
        <is>
          <t>Contrats signés</t>
        </is>
      </c>
      <c r="I12" s="10" t="n">
        <v>0</v>
      </c>
      <c r="J12" s="10" t="n">
        <v>0</v>
      </c>
      <c r="K12" s="10" t="n">
        <v>2</v>
      </c>
      <c r="L12" s="13" t="n">
        <v>4</v>
      </c>
    </row>
    <row r="13" ht="22" customHeight="1">
      <c r="B13" s="9" t="inlineStr">
        <is>
          <t>Campagnes publicitaires actives</t>
        </is>
      </c>
      <c r="C13" s="10" t="n">
        <v>0</v>
      </c>
      <c r="D13" s="10" t="n">
        <v>0</v>
      </c>
      <c r="E13" s="10" t="n">
        <v>1</v>
      </c>
      <c r="F13" s="11" t="inlineStr">
        <is>
          <t>2–3</t>
        </is>
      </c>
      <c r="H13" s="12" t="inlineStr">
        <is>
          <t>Annonces premium produites</t>
        </is>
      </c>
      <c r="I13" s="10" t="n">
        <v>0</v>
      </c>
      <c r="J13" s="10" t="n">
        <v>0</v>
      </c>
      <c r="K13" s="10" t="n">
        <v>0</v>
      </c>
      <c r="L13" s="13" t="inlineStr">
        <is>
          <t>8–15</t>
        </is>
      </c>
    </row>
    <row r="14" ht="22" customHeight="1">
      <c r="B14" s="9" t="inlineStr">
        <is>
          <t>CA généré (FCFA)</t>
        </is>
      </c>
      <c r="C14" s="10" t="n">
        <v>0</v>
      </c>
      <c r="D14" s="10" t="n">
        <v>0</v>
      </c>
      <c r="E14" s="10" t="n">
        <v>100000</v>
      </c>
      <c r="F14" s="11" t="n">
        <v>300000</v>
      </c>
      <c r="H14" s="12" t="inlineStr">
        <is>
          <t>CA généré (FCFA)</t>
        </is>
      </c>
      <c r="I14" s="10" t="n">
        <v>0</v>
      </c>
      <c r="J14" s="10" t="n">
        <v>0</v>
      </c>
      <c r="K14" s="10" t="n">
        <v>100000</v>
      </c>
      <c r="L14" s="13" t="n">
        <v>300000</v>
      </c>
    </row>
    <row r="16" ht="30" customHeight="1">
      <c r="B16" s="14" t="inlineStr">
        <is>
          <t>🔑  CONSULTING  |  Cible : Propriétaires / Bailleurs</t>
        </is>
      </c>
      <c r="H16" s="15" t="inlineStr">
        <is>
          <t>💼  FINANCE  |  Cible : Locataires Affiliés</t>
        </is>
      </c>
    </row>
    <row r="17" ht="5" customHeight="1">
      <c r="B17" s="16" t="n"/>
      <c r="C17" s="16" t="n"/>
      <c r="D17" s="16" t="n"/>
      <c r="E17" s="16" t="n"/>
      <c r="F17" s="16" t="n"/>
      <c r="H17" s="17" t="n"/>
      <c r="I17" s="17" t="n"/>
      <c r="J17" s="17" t="n"/>
      <c r="K17" s="17" t="n"/>
      <c r="L17" s="17" t="n"/>
    </row>
    <row r="18" ht="28" customHeight="1">
      <c r="B18" s="18" t="inlineStr">
        <is>
          <t>KPI</t>
        </is>
      </c>
      <c r="C18" s="18" t="inlineStr">
        <is>
          <t>S1
(J1–7)</t>
        </is>
      </c>
      <c r="D18" s="18" t="inlineStr">
        <is>
          <t>S2
(J8–14)</t>
        </is>
      </c>
      <c r="E18" s="18" t="inlineStr">
        <is>
          <t>S3
(J15–21)</t>
        </is>
      </c>
      <c r="F18" s="18" t="inlineStr">
        <is>
          <t>S4
(J22–30)</t>
        </is>
      </c>
      <c r="H18" s="19" t="inlineStr">
        <is>
          <t>KPI</t>
        </is>
      </c>
      <c r="I18" s="19" t="inlineStr">
        <is>
          <t>S1
(J1–7)</t>
        </is>
      </c>
      <c r="J18" s="19" t="inlineStr">
        <is>
          <t>S2
(J8–14)</t>
        </is>
      </c>
      <c r="K18" s="19" t="inlineStr">
        <is>
          <t>S3
(J15–21)</t>
        </is>
      </c>
      <c r="L18" s="19" t="inlineStr">
        <is>
          <t>S4
(J22–30)</t>
        </is>
      </c>
    </row>
    <row r="19" ht="22" customHeight="1">
      <c r="B19" s="20" t="inlineStr">
        <is>
          <t>Bailleurs prospects identifiés</t>
        </is>
      </c>
      <c r="C19" s="10" t="n">
        <v>20</v>
      </c>
      <c r="D19" s="10" t="n">
        <v>20</v>
      </c>
      <c r="E19" s="10" t="n">
        <v>20</v>
      </c>
      <c r="F19" s="21" t="inlineStr">
        <is>
          <t>20+</t>
        </is>
      </c>
      <c r="H19" s="22" t="inlineStr">
        <is>
          <t>Caisse opérationnelle</t>
        </is>
      </c>
      <c r="I19" s="10" t="inlineStr">
        <is>
          <t>Oui</t>
        </is>
      </c>
      <c r="J19" s="10" t="inlineStr">
        <is>
          <t>Oui</t>
        </is>
      </c>
      <c r="K19" s="10" t="inlineStr">
        <is>
          <t>Oui</t>
        </is>
      </c>
      <c r="L19" s="23" t="inlineStr">
        <is>
          <t>Oui</t>
        </is>
      </c>
    </row>
    <row r="20" ht="22" customHeight="1">
      <c r="B20" s="20" t="inlineStr">
        <is>
          <t>RDV réalisés</t>
        </is>
      </c>
      <c r="C20" s="10" t="n">
        <v>10</v>
      </c>
      <c r="D20" s="10" t="n">
        <v>10</v>
      </c>
      <c r="E20" s="10" t="n">
        <v>10</v>
      </c>
      <c r="F20" s="21" t="inlineStr">
        <is>
          <t>10+</t>
        </is>
      </c>
      <c r="H20" s="22" t="inlineStr">
        <is>
          <t>Locataires prospects</t>
        </is>
      </c>
      <c r="I20" s="10" t="n">
        <v>20</v>
      </c>
      <c r="J20" s="10" t="n">
        <v>20</v>
      </c>
      <c r="K20" s="10" t="n">
        <v>30</v>
      </c>
      <c r="L20" s="23" t="inlineStr">
        <is>
          <t>30+</t>
        </is>
      </c>
    </row>
    <row r="21" ht="22" customHeight="1">
      <c r="B21" s="20" t="inlineStr">
        <is>
          <t>Diagnostics bailleurs réalisés</t>
        </is>
      </c>
      <c r="C21" s="10" t="n">
        <v>0</v>
      </c>
      <c r="D21" s="10" t="n">
        <v>10</v>
      </c>
      <c r="E21" s="10" t="n">
        <v>10</v>
      </c>
      <c r="F21" s="21" t="inlineStr">
        <is>
          <t>10</t>
        </is>
      </c>
      <c r="H21" s="22" t="inlineStr">
        <is>
          <t>Locataires affiliés actifs</t>
        </is>
      </c>
      <c r="I21" s="10" t="n">
        <v>0</v>
      </c>
      <c r="J21" s="10" t="n">
        <v>10</v>
      </c>
      <c r="K21" s="10" t="n">
        <v>20</v>
      </c>
      <c r="L21" s="23" t="n">
        <v>25</v>
      </c>
    </row>
    <row r="22" ht="22" customHeight="1">
      <c r="B22" s="20" t="inlineStr">
        <is>
          <t>Fiches recommandations remises</t>
        </is>
      </c>
      <c r="C22" s="10" t="n">
        <v>0</v>
      </c>
      <c r="D22" s="10" t="n">
        <v>10</v>
      </c>
      <c r="E22" s="10" t="n">
        <v>10</v>
      </c>
      <c r="F22" s="21" t="inlineStr">
        <is>
          <t>10</t>
        </is>
      </c>
      <c r="H22" s="22" t="inlineStr">
        <is>
          <t>Cotisations collectées (FCFA)</t>
        </is>
      </c>
      <c r="I22" s="10" t="inlineStr">
        <is>
          <t>—</t>
        </is>
      </c>
      <c r="J22" s="10" t="inlineStr">
        <is>
          <t>En cours</t>
        </is>
      </c>
      <c r="K22" s="10" t="inlineStr">
        <is>
          <t>—</t>
        </is>
      </c>
      <c r="L22" s="23" t="inlineStr">
        <is>
          <t>Rapport</t>
        </is>
      </c>
    </row>
    <row r="23" ht="22" customHeight="1">
      <c r="B23" s="20" t="inlineStr">
        <is>
          <t>Propositions commerciales</t>
        </is>
      </c>
      <c r="C23" s="10" t="n">
        <v>0</v>
      </c>
      <c r="D23" s="10" t="n">
        <v>0</v>
      </c>
      <c r="E23" s="10" t="n">
        <v>3</v>
      </c>
      <c r="F23" s="21" t="inlineStr">
        <is>
          <t>3+</t>
        </is>
      </c>
      <c r="H23" s="22" t="inlineStr">
        <is>
          <t>Soutiens d'urgence effectués</t>
        </is>
      </c>
      <c r="I23" s="10" t="n">
        <v>0</v>
      </c>
      <c r="J23" s="10" t="n">
        <v>0</v>
      </c>
      <c r="K23" s="10" t="n">
        <v>1</v>
      </c>
      <c r="L23" s="23" t="inlineStr">
        <is>
          <t>1+</t>
        </is>
      </c>
    </row>
    <row r="24" ht="22" customHeight="1">
      <c r="B24" s="20" t="inlineStr">
        <is>
          <t>Contrats signés</t>
        </is>
      </c>
      <c r="C24" s="10" t="n">
        <v>0</v>
      </c>
      <c r="D24" s="10" t="n">
        <v>0</v>
      </c>
      <c r="E24" s="10" t="n">
        <v>2</v>
      </c>
      <c r="F24" s="21" t="n">
        <v>3</v>
      </c>
      <c r="H24" s="22" t="inlineStr">
        <is>
          <t>Bailleurs informés de la caisse</t>
        </is>
      </c>
      <c r="I24" s="10" t="n">
        <v>0</v>
      </c>
      <c r="J24" s="10" t="n">
        <v>3</v>
      </c>
      <c r="K24" s="10" t="n">
        <v>5</v>
      </c>
      <c r="L24" s="23" t="inlineStr">
        <is>
          <t>5+</t>
        </is>
      </c>
    </row>
    <row r="25" ht="22" customHeight="1">
      <c r="B25" s="20" t="inlineStr">
        <is>
          <t>Guides bailleurs produits</t>
        </is>
      </c>
      <c r="C25" s="10" t="n">
        <v>1</v>
      </c>
      <c r="D25" s="10" t="n">
        <v>1</v>
      </c>
      <c r="E25" s="10" t="n">
        <v>2</v>
      </c>
      <c r="F25" s="21" t="n">
        <v>2</v>
      </c>
      <c r="H25" s="22" t="inlineStr">
        <is>
          <t>RDV partenariat Mobile Money</t>
        </is>
      </c>
      <c r="I25" s="10" t="n">
        <v>0</v>
      </c>
      <c r="J25" s="10" t="n">
        <v>0</v>
      </c>
      <c r="K25" s="10" t="n">
        <v>0</v>
      </c>
      <c r="L25" s="23" t="n">
        <v>1</v>
      </c>
    </row>
    <row r="26" ht="22" customHeight="1">
      <c r="B26" s="20" t="inlineStr">
        <is>
          <t>CA généré (FCFA)</t>
        </is>
      </c>
      <c r="C26" s="10" t="n">
        <v>0</v>
      </c>
      <c r="D26" s="10" t="n">
        <v>0</v>
      </c>
      <c r="E26" s="10" t="n">
        <v>150000</v>
      </c>
      <c r="F26" s="21" t="n">
        <v>318000</v>
      </c>
      <c r="H26" s="22" t="inlineStr">
        <is>
          <t>Témoignages locataires</t>
        </is>
      </c>
      <c r="I26" s="10" t="n">
        <v>0</v>
      </c>
      <c r="J26" s="10" t="n">
        <v>0</v>
      </c>
      <c r="K26" s="10" t="n">
        <v>0</v>
      </c>
      <c r="L26" s="23" t="n">
        <v>2</v>
      </c>
    </row>
    <row r="28" ht="8" customHeight="1"/>
    <row r="29" ht="36" customHeight="1">
      <c r="B29" s="24" t="inlineStr">
        <is>
          <t>RÉSULTAT FINANCIER CONSOLIDÉ – OBJECTIF MENSUEL</t>
        </is>
      </c>
    </row>
    <row r="30" ht="28" customHeight="1">
      <c r="B30" s="25" t="inlineStr">
        <is>
          <t>Chiffre d'Affaires Cible</t>
        </is>
      </c>
      <c r="E30" s="26" t="inlineStr">
        <is>
          <t>Charges Totales</t>
        </is>
      </c>
      <c r="H30" s="27" t="inlineStr">
        <is>
          <t>Résultat Net Cible</t>
        </is>
      </c>
      <c r="K30" s="25" t="inlineStr">
        <is>
          <t>Point Mort</t>
        </is>
      </c>
    </row>
    <row r="31" ht="34" customHeight="1">
      <c r="B31" s="28" t="inlineStr">
        <is>
          <t>618 000 FCFA</t>
        </is>
      </c>
      <c r="E31" s="29" t="inlineStr">
        <is>
          <t>140 000 FCFA</t>
        </is>
      </c>
      <c r="H31" s="30" t="inlineStr">
        <is>
          <t>478 000 FCFA</t>
        </is>
      </c>
      <c r="K31" s="31" t="inlineStr">
        <is>
          <t>~3 clients / mois</t>
        </is>
      </c>
    </row>
    <row r="33" ht="20" customHeight="1">
      <c r="B33" s="32" t="inlineStr">
        <is>
          <t>Source : Plans d'action Vania – Sprint 30 Jours  |  Bleu = valeur saisie  |  Vert = objectif atteint  |  Mise à jour manuelle chaque fin de semaine</t>
        </is>
      </c>
    </row>
  </sheetData>
  <mergeCells count="16">
    <mergeCell ref="B4:F4"/>
    <mergeCell ref="B30:C30"/>
    <mergeCell ref="K30:L30"/>
    <mergeCell ref="E30:F30"/>
    <mergeCell ref="B16:F16"/>
    <mergeCell ref="B29:L29"/>
    <mergeCell ref="H16:L16"/>
    <mergeCell ref="B33:L33"/>
    <mergeCell ref="B2:L2"/>
    <mergeCell ref="B31:C31"/>
    <mergeCell ref="H31:I31"/>
    <mergeCell ref="K31:L31"/>
    <mergeCell ref="H4:L4"/>
    <mergeCell ref="E31:F31"/>
    <mergeCell ref="H30:I30"/>
    <mergeCell ref="B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42"/>
  <sheetViews>
    <sheetView showGridLines="0" workbookViewId="0">
      <selection activeCell="A1" sqref="A1"/>
    </sheetView>
  </sheetViews>
  <sheetFormatPr baseColWidth="8" defaultRowHeight="15"/>
  <cols>
    <col width="2" customWidth="1" min="1" max="1"/>
    <col width="30" customWidth="1" min="2" max="2"/>
    <col width="18" customWidth="1" min="3" max="3"/>
    <col width="18" customWidth="1" min="4" max="4"/>
    <col width="18" customWidth="1" min="5" max="5"/>
    <col width="18" customWidth="1" min="6" max="6"/>
    <col width="3" customWidth="1" min="7" max="7"/>
  </cols>
  <sheetData>
    <row r="1" ht="50" customHeight="1">
      <c r="B1" s="33" t="inlineStr">
        <is>
          <t>VANIA – SUIVI MENSUEL : RÉEL vs OBJECTIF</t>
        </is>
      </c>
    </row>
    <row r="2" ht="22" customHeight="1">
      <c r="B2" s="34" t="inlineStr">
        <is>
          <t>Saisissez les valeurs réelles chaque fin de semaine  |  Bleu = à saisir  |  Formules automatiques</t>
        </is>
      </c>
    </row>
    <row r="4" ht="32" customHeight="1">
      <c r="B4" s="35" t="inlineStr">
        <is>
          <t>🏢  AGENCE COMMUNICATION</t>
        </is>
      </c>
    </row>
    <row r="5" ht="26" customHeight="1">
      <c r="B5" s="36" t="inlineStr">
        <is>
          <t>KPI</t>
        </is>
      </c>
      <c r="C5" s="36" t="inlineStr">
        <is>
          <t>Objectif S4</t>
        </is>
      </c>
      <c r="D5" s="37" t="inlineStr">
        <is>
          <t>Réel S1</t>
        </is>
      </c>
      <c r="E5" s="37" t="inlineStr">
        <is>
          <t>Réel S2</t>
        </is>
      </c>
      <c r="F5" s="37" t="inlineStr">
        <is>
          <t>Réel S3</t>
        </is>
      </c>
      <c r="G5" s="37" t="inlineStr">
        <is>
          <t>Réel S4</t>
        </is>
      </c>
    </row>
    <row r="6" ht="22" customHeight="1">
      <c r="B6" s="9" t="inlineStr">
        <is>
          <t>Startups OTAs identifiées</t>
        </is>
      </c>
      <c r="C6" s="38" t="inlineStr">
        <is>
          <t>15+</t>
        </is>
      </c>
      <c r="D6" s="39" t="n"/>
      <c r="E6" s="39" t="n"/>
      <c r="F6" s="39" t="n"/>
      <c r="G6" s="39" t="n"/>
    </row>
    <row r="7" ht="22" customHeight="1">
      <c r="B7" s="9" t="inlineStr">
        <is>
          <t>RDV réalisés</t>
        </is>
      </c>
      <c r="C7" s="38" t="inlineStr">
        <is>
          <t>8+</t>
        </is>
      </c>
      <c r="D7" s="39" t="n"/>
      <c r="E7" s="39" t="n"/>
      <c r="F7" s="39" t="n"/>
      <c r="G7" s="39" t="n"/>
    </row>
    <row r="8" ht="22" customHeight="1">
      <c r="B8" s="9" t="inlineStr">
        <is>
          <t>Audits identité de marque</t>
        </is>
      </c>
      <c r="C8" s="38" t="n">
        <v>8</v>
      </c>
      <c r="D8" s="39" t="n"/>
      <c r="E8" s="39" t="n"/>
      <c r="F8" s="39" t="n"/>
      <c r="G8" s="39" t="n"/>
    </row>
    <row r="9" ht="22" customHeight="1">
      <c r="B9" s="9" t="inlineStr">
        <is>
          <t>Contrats signés</t>
        </is>
      </c>
      <c r="C9" s="38" t="n">
        <v>3</v>
      </c>
      <c r="D9" s="39" t="n"/>
      <c r="E9" s="39" t="n"/>
      <c r="F9" s="39" t="n"/>
      <c r="G9" s="39" t="n"/>
    </row>
    <row r="10" ht="22" customHeight="1">
      <c r="B10" s="9" t="inlineStr">
        <is>
          <t>Capsules vidéo produites</t>
        </is>
      </c>
      <c r="C10" s="38" t="n">
        <v>2</v>
      </c>
      <c r="D10" s="39" t="n"/>
      <c r="E10" s="39" t="n"/>
      <c r="F10" s="39" t="n"/>
      <c r="G10" s="39" t="n"/>
    </row>
    <row r="11" ht="22" customHeight="1">
      <c r="B11" s="9" t="inlineStr">
        <is>
          <t>Campagnes actives</t>
        </is>
      </c>
      <c r="C11" s="38" t="inlineStr">
        <is>
          <t>2–3</t>
        </is>
      </c>
      <c r="D11" s="39" t="n"/>
      <c r="E11" s="39" t="n"/>
      <c r="F11" s="39" t="n"/>
      <c r="G11" s="39" t="n"/>
    </row>
    <row r="12" ht="22" customHeight="1">
      <c r="B12" s="9" t="inlineStr">
        <is>
          <t>CA généré (FCFA)</t>
        </is>
      </c>
      <c r="C12" s="38" t="n">
        <v>300000</v>
      </c>
      <c r="D12" s="39" t="n"/>
      <c r="E12" s="39" t="n"/>
      <c r="F12" s="39" t="n"/>
      <c r="G12" s="39" t="n"/>
    </row>
    <row r="14" ht="32" customHeight="1">
      <c r="B14" s="40" t="inlineStr">
        <is>
          <t>🎬  STUDIO</t>
        </is>
      </c>
    </row>
    <row r="15" ht="26" customHeight="1">
      <c r="B15" s="41" t="inlineStr">
        <is>
          <t>KPI</t>
        </is>
      </c>
      <c r="C15" s="36" t="inlineStr">
        <is>
          <t>Objectif S4</t>
        </is>
      </c>
      <c r="D15" s="37" t="inlineStr">
        <is>
          <t>Réel S1</t>
        </is>
      </c>
      <c r="E15" s="37" t="inlineStr">
        <is>
          <t>Réel S2</t>
        </is>
      </c>
      <c r="F15" s="37" t="inlineStr">
        <is>
          <t>Réel S3</t>
        </is>
      </c>
      <c r="G15" s="37" t="inlineStr">
        <is>
          <t>Réel S4</t>
        </is>
      </c>
    </row>
    <row r="16" ht="22" customHeight="1">
      <c r="B16" s="12" t="inlineStr">
        <is>
          <t>Agents identifiés</t>
        </is>
      </c>
      <c r="C16" s="38" t="inlineStr">
        <is>
          <t>20+</t>
        </is>
      </c>
      <c r="D16" s="39" t="n"/>
      <c r="E16" s="39" t="n"/>
      <c r="F16" s="39" t="n"/>
      <c r="G16" s="39" t="n"/>
    </row>
    <row r="17" ht="22" customHeight="1">
      <c r="B17" s="12" t="inlineStr">
        <is>
          <t>RDV réalisés</t>
        </is>
      </c>
      <c r="C17" s="38" t="inlineStr">
        <is>
          <t>10+</t>
        </is>
      </c>
      <c r="D17" s="39" t="n"/>
      <c r="E17" s="39" t="n"/>
      <c r="F17" s="39" t="n"/>
      <c r="G17" s="39" t="n"/>
    </row>
    <row r="18" ht="22" customHeight="1">
      <c r="B18" s="12" t="inlineStr">
        <is>
          <t>Audits d'annonces réalisés</t>
        </is>
      </c>
      <c r="C18" s="38" t="n">
        <v>10</v>
      </c>
      <c r="D18" s="39" t="n"/>
      <c r="E18" s="39" t="n"/>
      <c r="F18" s="39" t="n"/>
      <c r="G18" s="39" t="n"/>
    </row>
    <row r="19" ht="22" customHeight="1">
      <c r="B19" s="12" t="inlineStr">
        <is>
          <t>Contrats signés</t>
        </is>
      </c>
      <c r="C19" s="38" t="n">
        <v>4</v>
      </c>
      <c r="D19" s="39" t="n"/>
      <c r="E19" s="39" t="n"/>
      <c r="F19" s="39" t="n"/>
      <c r="G19" s="39" t="n"/>
    </row>
    <row r="20" ht="22" customHeight="1">
      <c r="B20" s="12" t="inlineStr">
        <is>
          <t>Annonces premium produites</t>
        </is>
      </c>
      <c r="C20" s="38" t="inlineStr">
        <is>
          <t>8–15</t>
        </is>
      </c>
      <c r="D20" s="39" t="n"/>
      <c r="E20" s="39" t="n"/>
      <c r="F20" s="39" t="n"/>
      <c r="G20" s="39" t="n"/>
    </row>
    <row r="21" ht="22" customHeight="1">
      <c r="B21" s="12" t="inlineStr">
        <is>
          <t>Témoignages collectés</t>
        </is>
      </c>
      <c r="C21" s="38" t="n">
        <v>2</v>
      </c>
      <c r="D21" s="39" t="n"/>
      <c r="E21" s="39" t="n"/>
      <c r="F21" s="39" t="n"/>
      <c r="G21" s="39" t="n"/>
    </row>
    <row r="22" ht="22" customHeight="1">
      <c r="B22" s="12" t="inlineStr">
        <is>
          <t>CA généré (FCFA)</t>
        </is>
      </c>
      <c r="C22" s="38" t="n">
        <v>300000</v>
      </c>
      <c r="D22" s="39" t="n"/>
      <c r="E22" s="39" t="n"/>
      <c r="F22" s="39" t="n"/>
      <c r="G22" s="39" t="n"/>
    </row>
    <row r="24" ht="32" customHeight="1">
      <c r="B24" s="42" t="inlineStr">
        <is>
          <t>🔑  CONSULTING</t>
        </is>
      </c>
    </row>
    <row r="25" ht="26" customHeight="1">
      <c r="B25" s="43" t="inlineStr">
        <is>
          <t>KPI</t>
        </is>
      </c>
      <c r="C25" s="36" t="inlineStr">
        <is>
          <t>Objectif S4</t>
        </is>
      </c>
      <c r="D25" s="37" t="inlineStr">
        <is>
          <t>Réel S1</t>
        </is>
      </c>
      <c r="E25" s="37" t="inlineStr">
        <is>
          <t>Réel S2</t>
        </is>
      </c>
      <c r="F25" s="37" t="inlineStr">
        <is>
          <t>Réel S3</t>
        </is>
      </c>
      <c r="G25" s="37" t="inlineStr">
        <is>
          <t>Réel S4</t>
        </is>
      </c>
    </row>
    <row r="26" ht="22" customHeight="1">
      <c r="B26" s="20" t="inlineStr">
        <is>
          <t>Bailleurs prospects identifiés</t>
        </is>
      </c>
      <c r="C26" s="38" t="inlineStr">
        <is>
          <t>20+</t>
        </is>
      </c>
      <c r="D26" s="39" t="n"/>
      <c r="E26" s="39" t="n"/>
      <c r="F26" s="39" t="n"/>
      <c r="G26" s="39" t="n"/>
    </row>
    <row r="27" ht="22" customHeight="1">
      <c r="B27" s="20" t="inlineStr">
        <is>
          <t>Diagnostics réalisés</t>
        </is>
      </c>
      <c r="C27" s="38" t="n">
        <v>10</v>
      </c>
      <c r="D27" s="39" t="n"/>
      <c r="E27" s="39" t="n"/>
      <c r="F27" s="39" t="n"/>
      <c r="G27" s="39" t="n"/>
    </row>
    <row r="28" ht="22" customHeight="1">
      <c r="B28" s="20" t="inlineStr">
        <is>
          <t>Contrats signés</t>
        </is>
      </c>
      <c r="C28" s="38" t="n">
        <v>3</v>
      </c>
      <c r="D28" s="39" t="n"/>
      <c r="E28" s="39" t="n"/>
      <c r="F28" s="39" t="n"/>
      <c r="G28" s="39" t="n"/>
    </row>
    <row r="29" ht="22" customHeight="1">
      <c r="B29" s="20" t="inlineStr">
        <is>
          <t>Guides bailleurs produits</t>
        </is>
      </c>
      <c r="C29" s="38" t="n">
        <v>2</v>
      </c>
      <c r="D29" s="39" t="n"/>
      <c r="E29" s="39" t="n"/>
      <c r="F29" s="39" t="n"/>
      <c r="G29" s="39" t="n"/>
    </row>
    <row r="30" ht="22" customHeight="1">
      <c r="B30" s="20" t="inlineStr">
        <is>
          <t>Témoignages clients</t>
        </is>
      </c>
      <c r="C30" s="38" t="n">
        <v>2</v>
      </c>
      <c r="D30" s="39" t="n"/>
      <c r="E30" s="39" t="n"/>
      <c r="F30" s="39" t="n"/>
      <c r="G30" s="39" t="n"/>
    </row>
    <row r="31" ht="22" customHeight="1">
      <c r="B31" s="20" t="inlineStr">
        <is>
          <t>CA généré (FCFA)</t>
        </is>
      </c>
      <c r="C31" s="38" t="n">
        <v>318000</v>
      </c>
      <c r="D31" s="39" t="n"/>
      <c r="E31" s="39" t="n"/>
      <c r="F31" s="39" t="n"/>
      <c r="G31" s="39" t="n"/>
    </row>
    <row r="33" ht="32" customHeight="1">
      <c r="B33" s="44" t="inlineStr">
        <is>
          <t>💼  FINANCE</t>
        </is>
      </c>
    </row>
    <row r="34" ht="26" customHeight="1">
      <c r="B34" s="45" t="inlineStr">
        <is>
          <t>KPI</t>
        </is>
      </c>
      <c r="C34" s="36" t="inlineStr">
        <is>
          <t>Objectif S4</t>
        </is>
      </c>
      <c r="D34" s="37" t="inlineStr">
        <is>
          <t>Réel S1</t>
        </is>
      </c>
      <c r="E34" s="37" t="inlineStr">
        <is>
          <t>Réel S2</t>
        </is>
      </c>
      <c r="F34" s="37" t="inlineStr">
        <is>
          <t>Réel S3</t>
        </is>
      </c>
      <c r="G34" s="37" t="inlineStr">
        <is>
          <t>Réel S4</t>
        </is>
      </c>
    </row>
    <row r="35" ht="22" customHeight="1">
      <c r="B35" s="22" t="inlineStr">
        <is>
          <t>Locataires affiliés actifs</t>
        </is>
      </c>
      <c r="C35" s="38" t="n">
        <v>25</v>
      </c>
      <c r="D35" s="39" t="n"/>
      <c r="E35" s="39" t="n"/>
      <c r="F35" s="39" t="n"/>
      <c r="G35" s="39" t="n"/>
    </row>
    <row r="36" ht="22" customHeight="1">
      <c r="B36" s="22" t="inlineStr">
        <is>
          <t>Cotisations collectées (FCFA)</t>
        </is>
      </c>
      <c r="C36" s="38" t="inlineStr">
        <is>
          <t>—</t>
        </is>
      </c>
      <c r="D36" s="39" t="n"/>
      <c r="E36" s="39" t="n"/>
      <c r="F36" s="39" t="n"/>
      <c r="G36" s="39" t="n"/>
    </row>
    <row r="37" ht="22" customHeight="1">
      <c r="B37" s="22" t="inlineStr">
        <is>
          <t>Soutiens d'urgence</t>
        </is>
      </c>
      <c r="C37" s="38" t="inlineStr">
        <is>
          <t>1+</t>
        </is>
      </c>
      <c r="D37" s="39" t="n"/>
      <c r="E37" s="39" t="n"/>
      <c r="F37" s="39" t="n"/>
      <c r="G37" s="39" t="n"/>
    </row>
    <row r="38" ht="22" customHeight="1">
      <c r="B38" s="22" t="inlineStr">
        <is>
          <t>Bailleurs informés</t>
        </is>
      </c>
      <c r="C38" s="38" t="inlineStr">
        <is>
          <t>5+</t>
        </is>
      </c>
      <c r="D38" s="39" t="n"/>
      <c r="E38" s="39" t="n"/>
      <c r="F38" s="39" t="n"/>
      <c r="G38" s="39" t="n"/>
    </row>
    <row r="39" ht="22" customHeight="1">
      <c r="B39" s="22" t="inlineStr">
        <is>
          <t>RDV Mobile Money</t>
        </is>
      </c>
      <c r="C39" s="38" t="n">
        <v>1</v>
      </c>
      <c r="D39" s="39" t="n"/>
      <c r="E39" s="39" t="n"/>
      <c r="F39" s="39" t="n"/>
      <c r="G39" s="39" t="n"/>
    </row>
    <row r="40" ht="22" customHeight="1">
      <c r="B40" s="22" t="inlineStr">
        <is>
          <t>Témoignages locataires</t>
        </is>
      </c>
      <c r="C40" s="38" t="n">
        <v>2</v>
      </c>
      <c r="D40" s="39" t="n"/>
      <c r="E40" s="39" t="n"/>
      <c r="F40" s="39" t="n"/>
      <c r="G40" s="39" t="n"/>
    </row>
    <row r="42" ht="22" customHeight="1">
      <c r="B42" s="32" t="inlineStr">
        <is>
          <t>Bleu = cellule à saisir manuellement  |  Noir = objectif fixé  |  Vert = objectif atteint</t>
        </is>
      </c>
    </row>
  </sheetData>
  <mergeCells count="7">
    <mergeCell ref="B4:F4"/>
    <mergeCell ref="B2:G2"/>
    <mergeCell ref="B24:F24"/>
    <mergeCell ref="B33:F33"/>
    <mergeCell ref="B42:F42"/>
    <mergeCell ref="B1:G1"/>
    <mergeCell ref="B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21"/>
  <sheetViews>
    <sheetView showGridLines="0" workbookViewId="0">
      <selection activeCell="A1" sqref="A1"/>
    </sheetView>
  </sheetViews>
  <sheetFormatPr baseColWidth="8" defaultRowHeight="15"/>
  <cols>
    <col width="2" customWidth="1" min="1" max="1"/>
    <col width="30" customWidth="1" min="2" max="2"/>
    <col width="20" customWidth="1" min="3" max="3"/>
    <col width="20" customWidth="1" min="4" max="4"/>
    <col width="20" customWidth="1" min="5" max="5"/>
    <col width="20" customWidth="1" min="6" max="6"/>
    <col width="3" customWidth="1" min="7" max="7"/>
  </cols>
  <sheetData>
    <row r="1" ht="50" customHeight="1">
      <c r="B1" s="33" t="inlineStr">
        <is>
          <t>VANIA – FINANCES CONSOLIDÉES</t>
        </is>
      </c>
    </row>
    <row r="2" ht="18" customHeight="1">
      <c r="B2" s="34" t="inlineStr">
        <is>
          <t>Modèle financier mensuel  |  Objectifs vs Réalisé  |  Saisir les valeurs réelles en bleu</t>
        </is>
      </c>
    </row>
    <row r="4" ht="30" customHeight="1">
      <c r="B4" s="46" t="inlineStr">
        <is>
          <t>REVENUS PAR DÉPARTEMENT</t>
        </is>
      </c>
    </row>
    <row r="5" ht="26" customHeight="1">
      <c r="B5" s="37" t="inlineStr">
        <is>
          <t>Département</t>
        </is>
      </c>
      <c r="C5" s="37" t="inlineStr">
        <is>
          <t>Objectif Mois 1 (FCFA)</t>
        </is>
      </c>
      <c r="D5" s="37" t="inlineStr">
        <is>
          <t>Réel Mois 1 (FCFA)</t>
        </is>
      </c>
      <c r="E5" s="37" t="inlineStr">
        <is>
          <t>Écart (FCFA)</t>
        </is>
      </c>
      <c r="F5" s="37" t="inlineStr">
        <is>
          <t>Taux Réalisation</t>
        </is>
      </c>
    </row>
    <row r="6" ht="22" customHeight="1">
      <c r="B6" s="47" t="inlineStr">
        <is>
          <t>🏢 Agence Communication</t>
        </is>
      </c>
      <c r="C6" s="48" t="n">
        <v>300000</v>
      </c>
      <c r="D6" s="49" t="n"/>
      <c r="E6" s="50">
        <f>IF(D6="","",D6-C6)</f>
        <v/>
      </c>
      <c r="F6" s="51">
        <f>IF(D6="","",IF(C6=0,"N/A",D6/C6))</f>
        <v/>
      </c>
    </row>
    <row r="7" ht="22" customHeight="1">
      <c r="B7" s="52" t="inlineStr">
        <is>
          <t>🎬 Studio</t>
        </is>
      </c>
      <c r="C7" s="48" t="n">
        <v>300000</v>
      </c>
      <c r="D7" s="49" t="n"/>
      <c r="E7" s="50">
        <f>IF(D7="","",D7-C7)</f>
        <v/>
      </c>
      <c r="F7" s="51">
        <f>IF(D7="","",IF(C7=0,"N/A",D7/C7))</f>
        <v/>
      </c>
    </row>
    <row r="8" ht="22" customHeight="1">
      <c r="B8" s="53" t="inlineStr">
        <is>
          <t>🔑 Consulting</t>
        </is>
      </c>
      <c r="C8" s="48" t="n">
        <v>318000</v>
      </c>
      <c r="D8" s="49" t="n"/>
      <c r="E8" s="50">
        <f>IF(D8="","",D8-C8)</f>
        <v/>
      </c>
      <c r="F8" s="51">
        <f>IF(D8="","",IF(C8=0,"N/A",D8/C8))</f>
        <v/>
      </c>
    </row>
    <row r="9" ht="22" customHeight="1">
      <c r="B9" s="54" t="inlineStr">
        <is>
          <t>💼 Finance</t>
        </is>
      </c>
      <c r="C9" s="48" t="n">
        <v>0</v>
      </c>
      <c r="D9" s="49" t="n"/>
      <c r="E9" s="50">
        <f>IF(D9="","",D9-C9)</f>
        <v/>
      </c>
      <c r="F9" s="51">
        <f>IF(D9="","",IF(C9=0,"N/A",D9/C9))</f>
        <v/>
      </c>
    </row>
    <row r="10" ht="26" customHeight="1">
      <c r="B10" s="55" t="inlineStr">
        <is>
          <t>TOTAL CA</t>
        </is>
      </c>
      <c r="C10" s="56">
        <f>SUM(C6:C9)</f>
        <v/>
      </c>
      <c r="D10" s="56">
        <f>IF(COUNTA(D6:D9)=0,"",SUM(D6:D9))</f>
        <v/>
      </c>
      <c r="E10" s="56">
        <f>IF(D10="","",D10-C10)</f>
        <v/>
      </c>
    </row>
    <row r="12" ht="30" customHeight="1">
      <c r="B12" s="57" t="inlineStr">
        <is>
          <t>STRUCTURE DES COÛTS</t>
        </is>
      </c>
    </row>
    <row r="13" ht="22" customHeight="1">
      <c r="B13" s="58" t="inlineStr">
        <is>
          <t>Transport (fixe)</t>
        </is>
      </c>
      <c r="C13" s="48" t="n">
        <v>50000</v>
      </c>
      <c r="D13" s="49" t="n"/>
    </row>
    <row r="14" ht="22" customHeight="1">
      <c r="B14" s="58" t="inlineStr">
        <is>
          <t>Communication (fixe)</t>
        </is>
      </c>
      <c r="C14" s="48" t="n">
        <v>20000</v>
      </c>
      <c r="D14" s="49" t="n"/>
    </row>
    <row r="15" ht="22" customHeight="1">
      <c r="B15" s="58" t="inlineStr">
        <is>
          <t>Internet (fixe)</t>
        </is>
      </c>
      <c r="C15" s="48" t="n">
        <v>20000</v>
      </c>
      <c r="D15" s="49" t="n"/>
    </row>
    <row r="16" ht="22" customHeight="1">
      <c r="B16" s="58" t="inlineStr">
        <is>
          <t>Déplacements &amp; Opérationnel (variable)</t>
        </is>
      </c>
      <c r="C16" s="48" t="n">
        <v>50000</v>
      </c>
      <c r="D16" s="49" t="n"/>
    </row>
    <row r="17" ht="26" customHeight="1">
      <c r="B17" s="59" t="inlineStr">
        <is>
          <t>TOTAL CHARGES</t>
        </is>
      </c>
      <c r="C17" s="60">
        <f>SUM(C13:C16)</f>
        <v/>
      </c>
      <c r="D17" s="61">
        <f>IF(COUNTA(D13:D16)=0,"",SUM(D13:D16))</f>
        <v/>
      </c>
    </row>
    <row r="19" ht="36" customHeight="1">
      <c r="B19" s="62" t="inlineStr">
        <is>
          <t>RÉSULTAT NET</t>
        </is>
      </c>
      <c r="C19" s="63">
        <f>C10-C17</f>
        <v/>
      </c>
      <c r="D19" s="64">
        <f>IF(OR(D10="",D17=""),"",D10-D17)</f>
        <v/>
      </c>
    </row>
    <row r="21" ht="20" customHeight="1">
      <c r="B21" s="32" t="inlineStr">
        <is>
          <t>Bleu = saisie manuelle  |  Noir = formule automatique  |  Source : Plans d'action Vania Sprint 30 Jours</t>
        </is>
      </c>
    </row>
  </sheetData>
  <mergeCells count="8">
    <mergeCell ref="B21:F21"/>
    <mergeCell ref="B17"/>
    <mergeCell ref="B4:E4"/>
    <mergeCell ref="B2:F2"/>
    <mergeCell ref="B12:E12"/>
    <mergeCell ref="B10"/>
    <mergeCell ref="B1:F1"/>
    <mergeCell ref="B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16"/>
  <sheetViews>
    <sheetView showGridLines="0" workbookViewId="0">
      <selection activeCell="A1" sqref="A1"/>
    </sheetView>
  </sheetViews>
  <sheetFormatPr baseColWidth="8" defaultRowHeight="15"/>
  <cols>
    <col width="2" customWidth="1" min="1" max="1"/>
    <col width="22" customWidth="1" min="2" max="2"/>
    <col width="50" customWidth="1" min="3" max="3"/>
    <col width="2" customWidth="1" min="4" max="4"/>
  </cols>
  <sheetData>
    <row r="1" ht="50" customHeight="1">
      <c r="B1" s="33" t="inlineStr">
        <is>
          <t>VANIA – MESSAGES DIRECTEURS AUX 4 CIBLES</t>
        </is>
      </c>
    </row>
    <row r="3" ht="30" customHeight="1">
      <c r="B3" s="65" t="inlineStr">
        <is>
          <t>🏢 AGENCE COMM → Startups OTAs</t>
        </is>
      </c>
    </row>
    <row r="4" ht="70" customHeight="1">
      <c r="B4" s="66" t="inlineStr">
        <is>
          <t>Travaillez sur votre identité de marque avant de créer des algorithmes sophistiqués. Les utilisateurs ne retiennent pas la fonctionnalité ; ils retiennent l'expérience à travers vos visuels, vos interfaces utilisateur, vos produits digitaux.</t>
        </is>
      </c>
    </row>
    <row r="6" ht="30" customHeight="1">
      <c r="B6" s="67" t="inlineStr">
        <is>
          <t>🎬 STUDIO → Agents Immobiliers</t>
        </is>
      </c>
    </row>
    <row r="7" ht="70" customHeight="1">
      <c r="B7" s="68" t="inlineStr">
        <is>
          <t>Ca ne sert à rien d'avoir un vaste catalogue de biens si vous ne les valorisez pas avec des annonces de qualité. Créez des contenus agréables à regarder — c'est comme ça que vous aurez des mandats de qualité.</t>
        </is>
      </c>
    </row>
    <row r="9" ht="30" customHeight="1">
      <c r="B9" s="69" t="inlineStr">
        <is>
          <t>🔑 CONSULTING → Bailleurs</t>
        </is>
      </c>
    </row>
    <row r="10" ht="70" customHeight="1">
      <c r="B10" s="70" t="inlineStr">
        <is>
          <t>Chers bailleurs, après un sacrifice pour construire votre bien immobilier, il y a quelque chose que vous négligez : la qualité des annonces de votre bien sur Internet. Filtrez vos agents. Ce n'est pas votre bien le problème — c'est qu'il n'est pas encore au standard Vania.</t>
        </is>
      </c>
    </row>
    <row r="12" ht="30" customHeight="1">
      <c r="B12" s="71" t="inlineStr">
        <is>
          <t>💼 FINANCE → Locataires Affiliés</t>
        </is>
      </c>
    </row>
    <row r="13" ht="70" customHeight="1">
      <c r="B13" s="72" t="inlineStr">
        <is>
          <t>Il est important de vous faire aider lorsque vous n'êtes pas capable de payer un mois de loyer, au lieu d'accuser du retard et de fragiliser vos relations avec votre bailleur. Cotisez chaque jour, chaque semaine ou chaque mois pour avoir les capacités d'honorer vos engagements locatifs.</t>
        </is>
      </c>
    </row>
    <row r="16" ht="30" customHeight="1">
      <c r="B16" s="73" t="inlineStr">
        <is>
          <t>« Vania aide les professionnels de l'immobilier à structurer leur communication locale. »</t>
        </is>
      </c>
    </row>
  </sheetData>
  <mergeCells count="10">
    <mergeCell ref="B13:C13"/>
    <mergeCell ref="B6:C6"/>
    <mergeCell ref="B16:C16"/>
    <mergeCell ref="B7:C7"/>
    <mergeCell ref="B3:C3"/>
    <mergeCell ref="B10:C10"/>
    <mergeCell ref="B9:C9"/>
    <mergeCell ref="B1:C1"/>
    <mergeCell ref="B4:C4"/>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2026-03-26T23:08:00Z</dcterms:created>
  <dcterms:modified xmlns:dcterms="http://purl.org/dc/terms/" xmlns:xsi="http://www.w3.org/2001/XMLSchema-instance" xsi:type="dcterms:W3CDTF">2026-03-26T23:08:00Z</dcterms:modified>
</cp:coreProperties>
</file>